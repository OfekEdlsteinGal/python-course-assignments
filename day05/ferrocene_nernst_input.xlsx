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f5a462fa1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342bf418e9849cd"/>
    <x:sheet xmlns:r="http://schemas.openxmlformats.org/officeDocument/2006/relationships" name="Nernst_Data" sheetId="2" r:id="R0fc3076753e94cac"/>
    <x:sheet xmlns:r="http://schemas.openxmlformats.org/officeDocument/2006/relationships" name="Constants" sheetId="3" r:id="Rff0edd90fc85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16"/>
      <x:name val="Carlito"/>
    </x:font>
    <x:font>
      <x:b/>
      <x:sz val="11"/>
      <x:name val="Carlito"/>
    </x:font>
    <x:font>
      <x:b/>
      <x:sz val="14"/>
      <x:color rgb="B91C1C"/>
      <x:name val="Carlito"/>
    </x:font>
    <x:font>
      <x:i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991B1B"/>
      </x:patternFill>
    </x:fill>
    <x:fill>
      <x:patternFill patternType="solid">
        <x:fgColor rgb="374151"/>
      </x:patternFill>
    </x:fill>
    <x:fill>
      <x:patternFill patternType="solid">
        <x:fgColor rgb="F9FAFB"/>
      </x:patternFill>
    </x:fill>
    <x:fill>
      <x:patternFill patternType="solid">
        <x:fgColor rgb="FFF7ED"/>
      </x:patternFill>
    </x:fill>
    <x:fill>
      <x:patternFill patternType="solid">
        <x:fgColor rgb="ECFDF5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f0bf48e58454b" /><Relationship Type="http://schemas.openxmlformats.org/officeDocument/2006/relationships/theme" Target="/xl/theme/theme1.xml" Id="R57679c08250242eb" /><Relationship Type="http://schemas.openxmlformats.org/officeDocument/2006/relationships/sharedStrings" Target="/xl/sharedStrings.xml" Id="R8a60f94754e8409c" /><Relationship Type="http://schemas.openxmlformats.org/officeDocument/2006/relationships/worksheet" Target="/xl/worksheets/sheet1.xml" Id="Rb342bf418e9849cd" /><Relationship Type="http://schemas.openxmlformats.org/officeDocument/2006/relationships/worksheet" Target="/xl/worksheets/sheet2.xml" Id="R0fc3076753e94cac" /><Relationship Type="http://schemas.openxmlformats.org/officeDocument/2006/relationships/worksheet" Target="/xl/worksheets/sheet3.xml" Id="Rff0edd90fc8548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6f22a9e31b44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Ferrocene/Ferricenium equilibrium vs potential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FeCp2 reduced</c:v>
          </c:tx>
          <c:cat>
            <c:strRef>
              <c:f>'Dashboard'!$N$2:$N$28</c:f>
              <c:strCache>
                <c:ptCount val="0"/>
              </c:strCache>
            </c:strRef>
          </c:cat>
          <c:val>
            <c:numRef>
              <c:f>'Dashboard'!$O$2:$O$28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FeCp2+ oxidized</c:v>
          </c:tx>
          <c:cat>
            <c:strRef>
              <c:f>'Dashboard'!$N$2:$N$28</c:f>
              <c:strCache>
                <c:ptCount val="0"/>
              </c:strCache>
            </c:strRef>
          </c:cat>
          <c:val>
            <c:numRef>
              <c:f>'Dashboard'!$P$2:$P$28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Potential (V vs SCE)</a:t>
                </a:r>
              </a:p>
            </c:rich>
          </c:tx>
        </c:title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Concentration (mM)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6f22a9e31b44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ernstDataTable" displayName="NernstDataTable" ref="A1:H28" headerRowCount="1">
  <x:tableColumns count="8">
    <x:tableColumn id="1" name="Potential_V_vs_SCE"/>
    <x:tableColumn id="2" name="E0_V"/>
    <x:tableColumn id="3" name="n"/>
    <x:tableColumn id="4" name="Temperature_K"/>
    <x:tableColumn id="5" name="Total_mM"/>
    <x:tableColumn id="6" name="FeCp2_reduced_mM"/>
    <x:tableColumn id="7" name="FeCp2_plus_oxidized_mM"/>
    <x:tableColumn id="8" name="Ox_Red_ratio"/>
  </x:tableColumns>
  <x:tableStyleInfo name="TableStyleMedium2" showRowStripes="1"/>
</x:table>
</file>

<file path=xl/tables/table2.xml><?xml version="1.0" encoding="utf-8"?>
<x:table xmlns:x="http://schemas.openxmlformats.org/spreadsheetml/2006/main" id="2" name="ConstantsTable" displayName="ConstantsTable" ref="A1:D7" headerRowCount="1">
  <x:tableColumns count="4">
    <x:tableColumn id="1" name="Parameter"/>
    <x:tableColumn id="2" name="Value"/>
    <x:tableColumn id="3" name="Unit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9ad472e57945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92cf2e0b4f40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9cc5c1d21a4b8e" /></Relationships>
</file>

<file path=xl/worksheets/sheet1.xml><?xml version="1.0" encoding="utf-8"?>
<x:worksheet xmlns:x="http://schemas.openxmlformats.org/spreadsheetml/2006/main">
  <x:sheetFormatPr defaultRowHeight="15"/>
  <x:cols>
    <x:col min="14" max="14" width="14" hidden="0" customWidth="1"/>
    <x:col min="15" max="15" width="14" hidden="0" customWidth="1"/>
    <x:col min="16" max="16" width="14" hidden="0" customWidth="1"/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62" t="str">
        <x:v>How does the equilibrium concentration of redox species change with the cell potential?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N1" t="str">
        <x:v>Potential</x:v>
      </x:c>
      <x:c r="O1" t="str">
        <x:v>FeCp2 reduced</x:v>
      </x:c>
      <x:c r="P1" t="str">
        <x:v>FeCp2+ oxidized</x:v>
      </x:c>
    </x:row>
    <x:row r="2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N2" s="12" t="n">
        <x:v>-0.5</x:v>
      </x:c>
      <x:c r="O2" s="12" t="n">
        <x:v>4.999999999999898</x:v>
      </x:c>
      <x:c r="P2" s="12" t="n">
        <x:v>1.0165668124988016e-13</x:v>
      </x:c>
    </x:row>
    <x:row r="3">
      <x:c r="A3" s="64" t="str">
        <x:v>Redox couple:</x:v>
      </x:c>
      <x:c r="B3" s="65" t="str">
        <x:v>Ferrocene / Ferricenium</x:v>
      </x:c>
      <x:c r="C3" s="65" t="str"/>
      <x:c r="D3" s="63"/>
      <x:c r="E3" s="63"/>
      <x:c r="F3" s="63"/>
      <x:c r="G3" s="63"/>
      <x:c r="H3" s="63"/>
      <x:c r="I3" s="63"/>
      <x:c r="J3" s="63"/>
      <x:c r="K3" s="63"/>
      <x:c r="L3" s="63"/>
      <x:c r="N3" s="12" t="n">
        <x:v>-0.45</x:v>
      </x:c>
      <x:c r="O3" s="12" t="n">
        <x:v>4.999999999999289</x:v>
      </x:c>
      <x:c r="P3" s="12" t="n">
        <x:v>7.117227864199183e-13</x:v>
      </x:c>
    </x:row>
    <x:row r="4">
      <x:c r="A4" s="64" t="str">
        <x:v>Reaction:</x:v>
      </x:c>
      <x:c r="B4" s="65" t="str">
        <x:v>FeCp₂ ⇌ FeCp₂⁺ + e⁻</x:v>
      </x:c>
      <x:c r="C4" s="65" t="str"/>
      <x:c r="D4" s="63"/>
      <x:c r="E4" s="63"/>
      <x:c r="F4" s="63"/>
      <x:c r="G4" s="63"/>
      <x:c r="H4" s="63"/>
      <x:c r="I4" s="63"/>
      <x:c r="J4" s="63"/>
      <x:c r="K4" s="63"/>
      <x:c r="L4" s="63"/>
      <x:c r="N4" s="12" t="n">
        <x:v>-0.4</x:v>
      </x:c>
      <x:c r="O4" s="12" t="n">
        <x:v>4.999999999995017</x:v>
      </x:c>
      <x:c r="P4" s="12" t="n">
        <x:v>4.982941784847585e-12</x:v>
      </x:c>
    </x:row>
    <x:row r="5">
      <x:c r="A5" s="64" t="str">
        <x:v>Total concentration:</x:v>
      </x:c>
      <x:c r="B5" s="65" t="n">
        <x:v>5</x:v>
      </x:c>
      <x:c r="C5" s="65" t="str">
        <x:v>mM</x:v>
      </x:c>
      <x:c r="D5" s="63"/>
      <x:c r="E5" s="63"/>
      <x:c r="F5" s="63"/>
      <x:c r="G5" s="63"/>
      <x:c r="H5" s="63"/>
      <x:c r="I5" s="63"/>
      <x:c r="J5" s="63"/>
      <x:c r="K5" s="63"/>
      <x:c r="L5" s="63"/>
      <x:c r="N5" s="12" t="n">
        <x:v>-0.35</x:v>
      </x:c>
      <x:c r="O5" s="12" t="n">
        <x:v>4.999999999965113</x:v>
      </x:c>
      <x:c r="P5" s="12" t="n">
        <x:v>3.488676954682065e-11</x:v>
      </x:c>
    </x:row>
    <x:row r="6">
      <x:c r="A6" s="64" t="str">
        <x:v>E°:</x:v>
      </x:c>
      <x:c r="B6" s="65" t="n">
        <x:v>0.31</x:v>
      </x:c>
      <x:c r="C6" s="65" t="str">
        <x:v>V vs SCE</x:v>
      </x:c>
      <x:c r="D6" s="63"/>
      <x:c r="E6" s="63"/>
      <x:c r="F6" s="63"/>
      <x:c r="G6" s="63"/>
      <x:c r="H6" s="63"/>
      <x:c r="I6" s="63"/>
      <x:c r="J6" s="63"/>
      <x:c r="K6" s="63"/>
      <x:c r="L6" s="63"/>
      <x:c r="N6" s="12" t="n">
        <x:v>-0.3</x:v>
      </x:c>
      <x:c r="O6" s="12" t="n">
        <x:v>4.99999999975575</x:v>
      </x:c>
      <x:c r="P6" s="12" t="n">
        <x:v>2.4425063384651043e-10</x:v>
      </x:c>
    </x:row>
    <x:row r="7">
      <x:c r="A7" s="64" t="str">
        <x:v>Temperature:</x:v>
      </x:c>
      <x:c r="B7" s="65" t="n">
        <x:v>25</x:v>
      </x:c>
      <x:c r="C7" s="65" t="str">
        <x:v>°C</x:v>
      </x:c>
      <x:c r="D7" s="63"/>
      <x:c r="E7" s="63"/>
      <x:c r="F7" s="63"/>
      <x:c r="G7" s="63"/>
      <x:c r="H7" s="63"/>
      <x:c r="I7" s="63"/>
      <x:c r="J7" s="63"/>
      <x:c r="K7" s="63"/>
      <x:c r="L7" s="63"/>
      <x:c r="N7" s="12" t="n">
        <x:v>-0.25</x:v>
      </x:c>
      <x:c r="O7" s="12" t="n">
        <x:v>4.999999998289942</x:v>
      </x:c>
      <x:c r="P7" s="12" t="n">
        <x:v>1.7100572192379303e-9</x:v>
      </x:c>
    </x:row>
    <x:row r="8">
      <x:c r="A8" s="63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N8" s="12" t="n">
        <x:v>-0.2</x:v>
      </x:c>
      <x:c r="O8" s="12" t="n">
        <x:v>4.999999988027479</x:v>
      </x:c>
      <x:c r="P8" s="12" t="n">
        <x:v>1.1972520365128863e-8</x:v>
      </x:c>
    </x:row>
    <x:row r="9">
      <x:c r="A9" s="66" t="str">
        <x:v>Nernst equation used here:  Ecell = E°cell − (RT/nF) ln([FeCp₂]/[FeCp₂⁺])</x:v>
      </x:c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N9" s="12" t="n">
        <x:v>-0.15</x:v>
      </x:c>
      <x:c r="O9" s="12" t="n">
        <x:v>4.999999916177517</x:v>
      </x:c>
      <x:c r="P9" s="12" t="n">
        <x:v>8.382248296445757e-8</x:v>
      </x:c>
    </x:row>
    <x:row r="10">
      <x:c r="A10" s="63"/>
      <x:c r="B10" s="63"/>
      <x:c r="C10" s="63"/>
      <x:c r="D10" s="63"/>
      <x:c r="E10" s="63"/>
      <x:c r="F10" s="63"/>
      <x:c r="G10" s="63"/>
      <x:c r="H10" s="63"/>
      <x:c r="I10" s="63"/>
      <x:c r="J10" s="63"/>
      <x:c r="K10" s="63"/>
      <x:c r="L10" s="63"/>
      <x:c r="N10" s="12" t="n">
        <x:v>-0.1</x:v>
      </x:c>
      <x:c r="O10" s="12" t="n">
        <x:v>4.999999413138768</x:v>
      </x:c>
      <x:c r="P10" s="12" t="n">
        <x:v>5.868612313967567e-7</x:v>
      </x:c>
    </x:row>
    <x:row r="11">
      <x:c r="A11" s="67" t="str">
        <x:v>When Ecell = E°, the reduced and oxidized concentrations are equal. For this 5 mM solution: [FeCp₂] = [FeCp₂⁺] = 2.5 mM.</x:v>
      </x:c>
      <x:c r="B11" s="63"/>
      <x:c r="C11" s="63"/>
      <x:c r="D11" s="63"/>
      <x:c r="E11" s="63"/>
      <x:c r="F11" s="63"/>
      <x:c r="G11" s="63"/>
      <x:c r="H11" s="63"/>
      <x:c r="I11" s="63"/>
      <x:c r="J11" s="63"/>
      <x:c r="K11" s="63"/>
      <x:c r="L11" s="63"/>
      <x:c r="N11" s="12" t="n">
        <x:v>-0.05</x:v>
      </x:c>
      <x:c r="O11" s="12" t="n">
        <x:v>4.999995891246778</x:v>
      </x:c>
      <x:c r="P11" s="12" t="n">
        <x:v>0.000004108753222213756</x:v>
      </x:c>
    </x:row>
    <x:row r="12">
      <x:c r="A12" s="63"/>
      <x:c r="B12" s="63"/>
      <x:c r="C12" s="63"/>
      <x:c r="D12" s="63"/>
      <x:c r="E12" s="63"/>
      <x:c r="F12" s="63"/>
      <x:c r="G12" s="63"/>
      <x:c r="H12" s="63"/>
      <x:c r="I12" s="63"/>
      <x:c r="J12" s="63"/>
      <x:c r="K12" s="63"/>
      <x:c r="L12" s="63"/>
      <x:c r="N12" s="12" t="n">
        <x:v>0</x:v>
      </x:c>
      <x:c r="O12" s="12" t="n">
        <x:v>4.999971233775932</x:v>
      </x:c>
      <x:c r="P12" s="12" t="n">
        <x:v>0.000028766224068350753</x:v>
      </x:c>
    </x:row>
    <x:row r="13">
      <x:c r="A13" s="68" t="str">
        <x:v>Example point</x:v>
      </x:c>
      <x:c r="B13" s="68" t="str">
        <x:v>Potential (V)</x:v>
      </x:c>
      <x:c r="C13" s="68" t="str">
        <x:v>[FeCp₂] mM</x:v>
      </x:c>
      <x:c r="D13" s="68" t="str">
        <x:v>[FeCp₂⁺] mM</x:v>
      </x:c>
      <x:c r="E13" s="63"/>
      <x:c r="F13" s="63"/>
      <x:c r="G13" s="63"/>
      <x:c r="H13" s="63"/>
      <x:c r="I13" s="63"/>
      <x:c r="J13" s="63"/>
      <x:c r="K13" s="63"/>
      <x:c r="L13" s="63"/>
      <x:c r="N13" s="12" t="n">
        <x:v>0.05</x:v>
      </x:c>
      <x:c r="O13" s="12" t="n">
        <x:v>4.999798607725156</x:v>
      </x:c>
      <x:c r="P13" s="12" t="n">
        <x:v>0.0002013922748448219</x:v>
      </x:c>
    </x:row>
    <x:row r="14">
      <x:c r="A14" s="65" t="str">
        <x:v>Low potential</x:v>
      </x:c>
      <x:c r="B14" s="69" t="n">
        <x:v>-0.2</x:v>
      </x:c>
      <x:c r="C14" s="69" t="n">
        <x:f>Constants!$B$7/(1+EXP((B14-Constants!$B$2)*Constants!$B$3*Constants!$B$5/(Constants!$B$4*Constants!$B$6)))</x:f>
        <x:v>4.999999988027479</x:v>
      </x:c>
      <x:c r="D14" s="69" t="n">
        <x:f>Constants!$B$7-C14</x:f>
        <x:v>1.197252075257893e-8</x:v>
      </x:c>
      <x:c r="E14" s="63"/>
      <x:c r="F14" s="63"/>
      <x:c r="G14" s="63"/>
      <x:c r="H14" s="63"/>
      <x:c r="I14" s="63"/>
      <x:c r="J14" s="63"/>
      <x:c r="K14" s="63"/>
      <x:c r="L14" s="63"/>
      <x:c r="N14" s="12" t="n">
        <x:v>0.1</x:v>
      </x:c>
      <x:c r="O14" s="12" t="n">
        <x:v>4.998590345164899</x:v>
      </x:c>
      <x:c r="P14" s="12" t="n">
        <x:v>0.0014096548351007205</x:v>
      </x:c>
    </x:row>
    <x:row r="15">
      <x:c r="A15" s="65" t="str">
        <x:v>Near E°</x:v>
      </x:c>
      <x:c r="B15" s="69" t="n">
        <x:v>0.31</x:v>
      </x:c>
      <x:c r="C15" s="69" t="n">
        <x:f>Constants!$B$7/(1+EXP((B15-Constants!$B$2)*Constants!$B$3*Constants!$B$5/(Constants!$B$4*Constants!$B$6)))</x:f>
        <x:v>2.5</x:v>
      </x:c>
      <x:c r="D15" s="69" t="n">
        <x:f>Constants!$B$7-C15</x:f>
        <x:v>2.5</x:v>
      </x:c>
      <x:c r="E15" s="63"/>
      <x:c r="F15" s="63"/>
      <x:c r="G15" s="63"/>
      <x:c r="H15" s="63"/>
      <x:c r="I15" s="63"/>
      <x:c r="J15" s="63"/>
      <x:c r="K15" s="63"/>
      <x:c r="L15" s="63"/>
      <x:c r="N15" s="12" t="n">
        <x:v>0.15</x:v>
      </x:c>
      <x:c r="O15" s="12" t="n">
        <x:v>4.990147338755326</x:v>
      </x:c>
      <x:c r="P15" s="12" t="n">
        <x:v>0.009852661244672807</x:v>
      </x:c>
    </x:row>
    <x:row r="16">
      <x:c r="A16" s="65" t="str">
        <x:v>High potential</x:v>
      </x:c>
      <x:c r="B16" s="69" t="n">
        <x:v>0.6</x:v>
      </x:c>
      <x:c r="C16" s="69" t="n">
        <x:f>Constants!$B$7/(1+EXP((B16-Constants!$B$2)*Constants!$B$3*Constants!$B$5/(Constants!$B$4*Constants!$B$6)))</x:f>
        <x:v>0.00006265415724231808</x:v>
      </x:c>
      <x:c r="D16" s="69" t="n">
        <x:f>Constants!$B$7-C16</x:f>
        <x:v>4.999937345842758</x:v>
      </x:c>
      <x:c r="E16" s="63"/>
      <x:c r="F16" s="63"/>
      <x:c r="G16" s="63"/>
      <x:c r="H16" s="63"/>
      <x:c r="I16" s="63"/>
      <x:c r="J16" s="63"/>
      <x:c r="K16" s="63"/>
      <x:c r="L16" s="63"/>
      <x:c r="N16" s="12" t="n">
        <x:v>0.2</x:v>
      </x:c>
      <x:c r="O16" s="12" t="n">
        <x:v>4.931825365959226</x:v>
      </x:c>
      <x:c r="P16" s="12" t="n">
        <x:v>0.06817463404077374</x:v>
      </x:c>
    </x:row>
    <x:row r="17">
      <x:c r="A17" s="65" t="str">
        <x:v>Interpretation</x:v>
      </x:c>
      <x:c r="B17" s="65" t="str"/>
      <x:c r="C17" s="65" t="str">
        <x:v>blue = reduced</x:v>
      </x:c>
      <x:c r="D17" s="65" t="str">
        <x:v>red = oxidized</x:v>
      </x:c>
      <x:c r="E17" s="63"/>
      <x:c r="F17" s="63"/>
      <x:c r="G17" s="63"/>
      <x:c r="H17" s="63"/>
      <x:c r="I17" s="63"/>
      <x:c r="J17" s="63"/>
      <x:c r="K17" s="63"/>
      <x:c r="L17" s="63"/>
      <x:c r="N17" s="12" t="n">
        <x:v>0.25</x:v>
      </x:c>
      <x:c r="O17" s="12" t="n">
        <x:v>4.558795272169329</x:v>
      </x:c>
      <x:c r="P17" s="12" t="n">
        <x:v>0.4412047278306708</x:v>
      </x:c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3"/>
      <x:c r="J18" s="63"/>
      <x:c r="K18" s="63"/>
      <x:c r="L18" s="63"/>
      <x:c r="N18" s="12" t="n">
        <x:v>0.3</x:v>
      </x:c>
      <x:c r="O18" s="12" t="n">
        <x:v>2.9804715045791</x:v>
      </x:c>
      <x:c r="P18" s="12" t="n">
        <x:v>2.0195284954209005</x:v>
      </x:c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3"/>
      <x:c r="J19" s="63"/>
      <x:c r="K19" s="63"/>
      <x:c r="L19" s="63"/>
      <x:c r="N19" s="12" t="n">
        <x:v>0.35</x:v>
      </x:c>
      <x:c r="O19" s="12" t="n">
        <x:v>0.8704813609216353</x:v>
      </x:c>
      <x:c r="P19" s="12" t="n">
        <x:v>4.1295186390783645</x:v>
      </x:c>
    </x:row>
    <x:row r="20">
      <x:c r="A20" s="63"/>
      <x:c r="B20" s="63"/>
      <x:c r="C20" s="63"/>
      <x:c r="D20" s="63"/>
      <x:c r="E20" s="63"/>
      <x:c r="F20" s="63"/>
      <x:c r="G20" s="63"/>
      <x:c r="H20" s="63"/>
      <x:c r="I20" s="63"/>
      <x:c r="J20" s="63"/>
      <x:c r="K20" s="63"/>
      <x:c r="L20" s="63"/>
      <x:c r="N20" s="12" t="n">
        <x:v>0.4</x:v>
      </x:c>
      <x:c r="O20" s="12" t="n">
        <x:v>0.14614106014688522</x:v>
      </x:c>
      <x:c r="P20" s="12" t="n">
        <x:v>4.853858939853114</x:v>
      </x:c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  <x:c r="J21" s="63"/>
      <x:c r="K21" s="63"/>
      <x:c r="L21" s="63"/>
      <x:c r="N21" s="12" t="n">
        <x:v>0.45</x:v>
      </x:c>
      <x:c r="O21" s="12" t="n">
        <x:v>0.02140999286714906</x:v>
      </x:c>
      <x:c r="P21" s="12" t="n">
        <x:v>4.97859000713285</x:v>
      </x:c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  <x:c r="J22" s="63"/>
      <x:c r="K22" s="63"/>
      <x:c r="L22" s="63"/>
      <x:c r="N22" s="12" t="n">
        <x:v>0.5</x:v>
      </x:c>
      <x:c r="O22" s="12" t="n">
        <x:v>0.003069294374948613</x:v>
      </x:c>
      <x:c r="P22" s="12" t="n">
        <x:v>4.996930705625052</x:v>
      </x:c>
    </x:row>
    <x:row r="23">
      <x:c r="A23" s="63"/>
      <x:c r="B23" s="63"/>
      <x:c r="C23" s="63"/>
      <x:c r="D23" s="63"/>
      <x:c r="E23" s="63"/>
      <x:c r="F23" s="63"/>
      <x:c r="G23" s="63"/>
      <x:c r="H23" s="63"/>
      <x:c r="I23" s="63"/>
      <x:c r="J23" s="63"/>
      <x:c r="K23" s="63"/>
      <x:c r="L23" s="63"/>
      <x:c r="N23" s="12" t="n">
        <x:v>0.55</x:v>
      </x:c>
      <x:c r="O23" s="12" t="n">
        <x:v>0.00043862378454718315</x:v>
      </x:c>
      <x:c r="P23" s="12" t="n">
        <x:v>4.999561376215453</x:v>
      </x:c>
    </x:row>
    <x:row r="24">
      <x:c r="A24" s="63"/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N24" s="12" t="n">
        <x:v>0.6</x:v>
      </x:c>
      <x:c r="O24" s="12" t="n">
        <x:v>0.00006265415724231808</x:v>
      </x:c>
      <x:c r="P24" s="12" t="n">
        <x:v>4.999937345842757</x:v>
      </x:c>
    </x:row>
    <x:row r="25">
      <x:c r="A25" s="63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N25" s="12" t="n">
        <x:v>0.65</x:v>
      </x:c>
      <x:c r="O25" s="12" t="n">
        <x:v>0.000008949105221778495</x:v>
      </x:c>
      <x:c r="P25" s="12" t="n">
        <x:v>4.999991050894779</x:v>
      </x:c>
    </x:row>
    <x:row r="26">
      <x:c r="A26" s="63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N26" s="12" t="n">
        <x:v>0.7</x:v>
      </x:c>
      <x:c r="O26" s="12" t="n">
        <x:v>0.000001278219202840543</x:v>
      </x:c>
      <x:c r="P26" s="12" t="n">
        <x:v>4.9999987217807975</x:v>
      </x:c>
    </x:row>
    <x:row r="27">
      <x:c r="A27" s="63"/>
      <x:c r="B27" s="63"/>
      <x:c r="C27" s="63"/>
      <x:c r="D27" s="63"/>
      <x:c r="E27" s="63"/>
      <x:c r="F27" s="63"/>
      <x:c r="G27" s="63"/>
      <x:c r="H27" s="63"/>
      <x:c r="I27" s="63"/>
      <x:c r="J27" s="63"/>
      <x:c r="K27" s="63"/>
      <x:c r="L27" s="63"/>
      <x:c r="N27" s="12" t="n">
        <x:v>0.75</x:v>
      </x:c>
      <x:c r="O27" s="12" t="n">
        <x:v>1.8257045161903703e-7</x:v>
      </x:c>
      <x:c r="P27" s="12" t="n">
        <x:v>4.999999817429549</x:v>
      </x:c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  <x:c r="N28" s="12" t="n">
        <x:v>0.8</x:v>
      </x:c>
      <x:c r="O28" s="12" t="n">
        <x:v>2.6076875914184117e-8</x:v>
      </x:c>
      <x:c r="P28" s="12" t="n">
        <x:v>4.999999973923124</x:v>
      </x:c>
    </x:row>
    <x:row r="29">
      <x:c r="A29" s="63"/>
      <x:c r="B29" s="63"/>
      <x:c r="C29" s="63"/>
      <x:c r="D29" s="63"/>
      <x:c r="E29" s="63"/>
      <x:c r="F29" s="63"/>
      <x:c r="G29" s="63"/>
      <x:c r="H29" s="63"/>
      <x:c r="I29" s="63"/>
      <x:c r="J29" s="63"/>
      <x:c r="K29" s="63"/>
      <x:c r="L29" s="63"/>
    </x:row>
    <x:row r="30">
      <x:c r="A30" s="63"/>
      <x:c r="B30" s="63"/>
      <x:c r="C30" s="63"/>
      <x:c r="D30" s="63"/>
      <x:c r="E30" s="63"/>
      <x:c r="F30" s="63"/>
      <x:c r="G30" s="63"/>
      <x:c r="H30" s="63"/>
      <x:c r="I30" s="63"/>
      <x:c r="J30" s="63"/>
      <x:c r="K30" s="63"/>
      <x:c r="L30" s="63"/>
    </x:row>
  </x:sheetData>
  <x:mergeCells>
    <x:mergeCell ref="A1:L1"/>
    <x:mergeCell ref="A9:L10"/>
    <x:mergeCell ref="A11:L11"/>
  </x:mergeCells>
  <x:pageMargins left="0.7" right="0.7" top="0.75" bottom="0.75" header="0.3" footer="0.3"/>
  <x:drawing xmlns:r="http://schemas.openxmlformats.org/officeDocument/2006/relationships" r:id="R649ad472e57945ae"/>
</x:worksheet>
</file>

<file path=xl/worksheets/sheet2.xml><?xml version="1.0" encoding="utf-8"?>
<x:worksheet xmlns:x="http://schemas.openxmlformats.org/spreadsheetml/2006/main">
  <x:sheetFormatPr defaultRowHeight="15"/>
  <x:cols>
    <x:col min="1" max="1" width="16.149999618530273" hidden="0" customWidth="1"/>
    <x:col min="2" max="2" width="4.039999961853027" hidden="0" customWidth="1"/>
    <x:col min="3" max="3" width="0.6000000238418579" hidden="0" customWidth="1"/>
    <x:col min="4" max="4" width="12.520000457763672" hidden="0" customWidth="1"/>
    <x:col min="5" max="5" width="8.210000038146973" hidden="0" customWidth="1"/>
    <x:col min="6" max="6" width="16.81999969482422" hidden="0" customWidth="1"/>
    <x:col min="7" max="7" width="21.270000457763672" hidden="0" customWidth="1"/>
    <x:col min="8" max="8" width="11.039999961853027" hidden="0" customWidth="1"/>
    <x:col min="10" max="10" width="16.549999237060547" hidden="0" customWidth="1"/>
    <x:col min="11" max="11" width="17.770000457763672" hidden="0" customWidth="1"/>
    <x:col min="12" max="12" width="18.709999084472656" hidden="0" customWidth="1"/>
  </x:cols>
  <x:sheetData>
    <x:row r="1">
      <x:c r="A1" s="8" t="str">
        <x:v>Potential_V_vs_SCE</x:v>
      </x:c>
      <x:c r="B1" s="8" t="str">
        <x:v>E0_V</x:v>
      </x:c>
      <x:c r="C1" s="8" t="str">
        <x:v>n</x:v>
      </x:c>
      <x:c r="D1" s="8" t="str">
        <x:v>Temperature_K</x:v>
      </x:c>
      <x:c r="E1" s="8" t="str">
        <x:v>Total_mM</x:v>
      </x:c>
      <x:c r="F1" s="8" t="str">
        <x:v>FeCp2_reduced_mM</x:v>
      </x:c>
      <x:c r="G1" s="8" t="str">
        <x:v>FeCp2_plus_oxidized_mM</x:v>
      </x:c>
      <x:c r="H1" s="8" t="str">
        <x:v>Ox_Red_ratio</x:v>
      </x:c>
      <x:c r="J1" s="17" t="str">
        <x:v>Formula check: ratio</x:v>
      </x:c>
      <x:c r="K1" s="17" t="str">
        <x:v>Formula check: FeCp2</x:v>
      </x:c>
      <x:c r="L1" s="17" t="str">
        <x:v>Formula check: FeCp2+</x:v>
      </x:c>
    </x:row>
    <x:row r="2">
      <x:c r="A2" s="14" t="n">
        <x:v>-0.5</x:v>
      </x:c>
      <x:c r="B2" s="12" t="n">
        <x:v>0.31</x:v>
      </x:c>
      <x:c r="C2" s="12" t="n">
        <x:v>1</x:v>
      </x:c>
      <x:c r="D2" s="12" t="n">
        <x:v>298.15</x:v>
      </x:c>
      <x:c r="E2" s="12" t="n">
        <x:v>5</x:v>
      </x:c>
      <x:c r="F2" s="12" t="n">
        <x:v>4.999999999999898</x:v>
      </x:c>
      <x:c r="G2" s="12" t="n">
        <x:v>1.0165668124988016e-13</x:v>
      </x:c>
      <x:c r="H2" s="12" t="n">
        <x:v>2.033133624997645e-14</x:v>
      </x:c>
      <x:c r="J2" s="12" t="n">
        <x:f>EXP((A2-B2)*C2*Constants!$B$5/(Constants!$B$4*D2))</x:f>
        <x:v>2.033133624997645e-14</x:v>
      </x:c>
      <x:c r="K2" s="12" t="n">
        <x:f>E2/(1+J2)</x:f>
        <x:v>4.999999999999898</x:v>
      </x:c>
      <x:c r="L2" s="12" t="n">
        <x:f>E2*J2/(1+J2)</x:f>
        <x:v>1.0165668124988016e-13</x:v>
      </x:c>
    </x:row>
    <x:row r="3">
      <x:c r="A3" s="14" t="n">
        <x:v>-0.45</x:v>
      </x:c>
      <x:c r="B3" s="12" t="n">
        <x:v>0.31</x:v>
      </x:c>
      <x:c r="C3" s="12" t="n">
        <x:v>1</x:v>
      </x:c>
      <x:c r="D3" s="12" t="n">
        <x:v>298.15</x:v>
      </x:c>
      <x:c r="E3" s="12" t="n">
        <x:v>5</x:v>
      </x:c>
      <x:c r="F3" s="12" t="n">
        <x:v>4.999999999999289</x:v>
      </x:c>
      <x:c r="G3" s="12" t="n">
        <x:v>7.117227864199183e-13</x:v>
      </x:c>
      <x:c r="H3" s="12" t="n">
        <x:v>1.4234455728400392e-13</x:v>
      </x:c>
      <x:c r="J3" s="12" t="n">
        <x:f>EXP((A3-B3)*C3*Constants!$B$5/(Constants!$B$4*D3))</x:f>
        <x:v>1.4234455728400392e-13</x:v>
      </x:c>
      <x:c r="K3" s="12" t="n">
        <x:f>E3/(1+J3)</x:f>
        <x:v>4.999999999999289</x:v>
      </x:c>
      <x:c r="L3" s="12" t="n">
        <x:f>E3*J3/(1+J3)</x:f>
        <x:v>7.117227864199183e-13</x:v>
      </x:c>
    </x:row>
    <x:row r="4">
      <x:c r="A4" s="14" t="n">
        <x:v>-0.4</x:v>
      </x:c>
      <x:c r="B4" s="12" t="n">
        <x:v>0.31</x:v>
      </x:c>
      <x:c r="C4" s="12" t="n">
        <x:v>1</x:v>
      </x:c>
      <x:c r="D4" s="12" t="n">
        <x:v>298.15</x:v>
      </x:c>
      <x:c r="E4" s="12" t="n">
        <x:v>5</x:v>
      </x:c>
      <x:c r="F4" s="12" t="n">
        <x:v>4.999999999995017</x:v>
      </x:c>
      <x:c r="G4" s="12" t="n">
        <x:v>4.982941784847585e-12</x:v>
      </x:c>
      <x:c r="H4" s="12" t="n">
        <x:v>9.9658835697051e-13</x:v>
      </x:c>
      <x:c r="J4" s="12" t="n">
        <x:f>EXP((A4-B4)*C4*Constants!$B$5/(Constants!$B$4*D4))</x:f>
        <x:v>9.9658835697051e-13</x:v>
      </x:c>
      <x:c r="K4" s="12" t="n">
        <x:f>E4/(1+J4)</x:f>
        <x:v>4.999999999995017</x:v>
      </x:c>
      <x:c r="L4" s="12" t="n">
        <x:f>E4*J4/(1+J4)</x:f>
        <x:v>4.982941784847585e-12</x:v>
      </x:c>
    </x:row>
    <x:row r="5">
      <x:c r="A5" s="14" t="n">
        <x:v>-0.35</x:v>
      </x:c>
      <x:c r="B5" s="12" t="n">
        <x:v>0.31</x:v>
      </x:c>
      <x:c r="C5" s="12" t="n">
        <x:v>1</x:v>
      </x:c>
      <x:c r="D5" s="12" t="n">
        <x:v>298.15</x:v>
      </x:c>
      <x:c r="E5" s="12" t="n">
        <x:v>5</x:v>
      </x:c>
      <x:c r="F5" s="12" t="n">
        <x:v>4.999999999965113</x:v>
      </x:c>
      <x:c r="G5" s="12" t="n">
        <x:v>3.488676954682065e-11</x:v>
      </x:c>
      <x:c r="H5" s="12" t="n">
        <x:v>6.977353909412813e-12</x:v>
      </x:c>
      <x:c r="J5" s="12" t="n">
        <x:f>EXP((A5-B5)*C5*Constants!$B$5/(Constants!$B$4*D5))</x:f>
        <x:v>6.977353909412813e-12</x:v>
      </x:c>
      <x:c r="K5" s="12" t="n">
        <x:f>E5/(1+J5)</x:f>
        <x:v>4.999999999965113</x:v>
      </x:c>
      <x:c r="L5" s="12" t="n">
        <x:f>E5*J5/(1+J5)</x:f>
        <x:v>3.488676954682065e-11</x:v>
      </x:c>
    </x:row>
    <x:row r="6">
      <x:c r="A6" s="14" t="n">
        <x:v>-0.3</x:v>
      </x:c>
      <x:c r="B6" s="12" t="n">
        <x:v>0.31</x:v>
      </x:c>
      <x:c r="C6" s="12" t="n">
        <x:v>1</x:v>
      </x:c>
      <x:c r="D6" s="12" t="n">
        <x:v>298.15</x:v>
      </x:c>
      <x:c r="E6" s="12" t="n">
        <x:v>5</x:v>
      </x:c>
      <x:c r="F6" s="12" t="n">
        <x:v>4.99999999975575</x:v>
      </x:c>
      <x:c r="G6" s="12" t="n">
        <x:v>2.4425063384651043e-10</x:v>
      </x:c>
      <x:c r="H6" s="12" t="n">
        <x:v>4.885012677168842e-11</x:v>
      </x:c>
      <x:c r="J6" s="12" t="n">
        <x:f>EXP((A6-B6)*C6*Constants!$B$5/(Constants!$B$4*D6))</x:f>
        <x:v>4.885012677168842e-11</x:v>
      </x:c>
      <x:c r="K6" s="12" t="n">
        <x:f>E6/(1+J6)</x:f>
        <x:v>4.99999999975575</x:v>
      </x:c>
      <x:c r="L6" s="12" t="n">
        <x:f>E6*J6/(1+J6)</x:f>
        <x:v>2.4425063384651043e-10</x:v>
      </x:c>
    </x:row>
    <x:row r="7">
      <x:c r="A7" s="14" t="n">
        <x:v>-0.25</x:v>
      </x:c>
      <x:c r="B7" s="12" t="n">
        <x:v>0.31</x:v>
      </x:c>
      <x:c r="C7" s="12" t="n">
        <x:v>1</x:v>
      </x:c>
      <x:c r="D7" s="12" t="n">
        <x:v>298.15</x:v>
      </x:c>
      <x:c r="E7" s="12" t="n">
        <x:v>5</x:v>
      </x:c>
      <x:c r="F7" s="12" t="n">
        <x:v>4.999999998289942</x:v>
      </x:c>
      <x:c r="G7" s="12" t="n">
        <x:v>1.7100572192379303e-9</x:v>
      </x:c>
      <x:c r="H7" s="12" t="n">
        <x:v>3.420114439645579e-10</x:v>
      </x:c>
      <x:c r="J7" s="12" t="n">
        <x:f>EXP((A7-B7)*C7*Constants!$B$5/(Constants!$B$4*D7))</x:f>
        <x:v>3.420114439645579e-10</x:v>
      </x:c>
      <x:c r="K7" s="12" t="n">
        <x:f>E7/(1+J7)</x:f>
        <x:v>4.999999998289942</x:v>
      </x:c>
      <x:c r="L7" s="12" t="n">
        <x:f>E7*J7/(1+J7)</x:f>
        <x:v>1.7100572192379303e-9</x:v>
      </x:c>
    </x:row>
    <x:row r="8">
      <x:c r="A8" s="14" t="n">
        <x:v>-0.2</x:v>
      </x:c>
      <x:c r="B8" s="12" t="n">
        <x:v>0.31</x:v>
      </x:c>
      <x:c r="C8" s="12" t="n">
        <x:v>1</x:v>
      </x:c>
      <x:c r="D8" s="12" t="n">
        <x:v>298.15</x:v>
      </x:c>
      <x:c r="E8" s="12" t="n">
        <x:v>5</x:v>
      </x:c>
      <x:c r="F8" s="12" t="n">
        <x:v>4.999999988027479</x:v>
      </x:c>
      <x:c r="G8" s="12" t="n">
        <x:v>1.1972520365128863e-8</x:v>
      </x:c>
      <x:c r="H8" s="12" t="n">
        <x:v>2.3945040787594226e-9</x:v>
      </x:c>
      <x:c r="J8" s="12" t="n">
        <x:f>EXP((A8-B8)*C8*Constants!$B$5/(Constants!$B$4*D8))</x:f>
        <x:v>2.3945040787594226e-9</x:v>
      </x:c>
      <x:c r="K8" s="12" t="n">
        <x:f>E8/(1+J8)</x:f>
        <x:v>4.999999988027479</x:v>
      </x:c>
      <x:c r="L8" s="12" t="n">
        <x:f>E8*J8/(1+J8)</x:f>
        <x:v>1.1972520365128863e-8</x:v>
      </x:c>
    </x:row>
    <x:row r="9">
      <x:c r="A9" s="14" t="n">
        <x:v>-0.15</x:v>
      </x:c>
      <x:c r="B9" s="12" t="n">
        <x:v>0.31</x:v>
      </x:c>
      <x:c r="C9" s="12" t="n">
        <x:v>1</x:v>
      </x:c>
      <x:c r="D9" s="12" t="n">
        <x:v>298.15</x:v>
      </x:c>
      <x:c r="E9" s="12" t="n">
        <x:v>5</x:v>
      </x:c>
      <x:c r="F9" s="12" t="n">
        <x:v>4.999999916177517</x:v>
      </x:c>
      <x:c r="G9" s="12" t="n">
        <x:v>8.382248296445757e-8</x:v>
      </x:c>
      <x:c r="H9" s="12" t="n">
        <x:v>1.6764496873939865e-8</x:v>
      </x:c>
      <x:c r="J9" s="12" t="n">
        <x:f>EXP((A9-B9)*C9*Constants!$B$5/(Constants!$B$4*D9))</x:f>
        <x:v>1.6764496873939865e-8</x:v>
      </x:c>
      <x:c r="K9" s="12" t="n">
        <x:f>E9/(1+J9)</x:f>
        <x:v>4.999999916177517</x:v>
      </x:c>
      <x:c r="L9" s="12" t="n">
        <x:f>E9*J9/(1+J9)</x:f>
        <x:v>8.382248296445757e-8</x:v>
      </x:c>
    </x:row>
    <x:row r="10">
      <x:c r="A10" s="14" t="n">
        <x:v>-0.1</x:v>
      </x:c>
      <x:c r="B10" s="12" t="n">
        <x:v>0.31</x:v>
      </x:c>
      <x:c r="C10" s="12" t="n">
        <x:v>1</x:v>
      </x:c>
      <x:c r="D10" s="12" t="n">
        <x:v>298.15</x:v>
      </x:c>
      <x:c r="E10" s="12" t="n">
        <x:v>5</x:v>
      </x:c>
      <x:c r="F10" s="12" t="n">
        <x:v>4.999999413138768</x:v>
      </x:c>
      <x:c r="G10" s="12" t="n">
        <x:v>5.868612313967567e-7</x:v>
      </x:c>
      <x:c r="H10" s="12" t="n">
        <x:v>1.1737226005559716e-7</x:v>
      </x:c>
      <x:c r="J10" s="12" t="n">
        <x:f>EXP((A10-B10)*C10*Constants!$B$5/(Constants!$B$4*D10))</x:f>
        <x:v>1.1737226005559716e-7</x:v>
      </x:c>
      <x:c r="K10" s="12" t="n">
        <x:f>E10/(1+J10)</x:f>
        <x:v>4.999999413138768</x:v>
      </x:c>
      <x:c r="L10" s="12" t="n">
        <x:f>E10*J10/(1+J10)</x:f>
        <x:v>5.868612313967567e-7</x:v>
      </x:c>
    </x:row>
    <x:row r="11">
      <x:c r="A11" s="14" t="n">
        <x:v>-0.05</x:v>
      </x:c>
      <x:c r="B11" s="12" t="n">
        <x:v>0.31</x:v>
      </x:c>
      <x:c r="C11" s="12" t="n">
        <x:v>1</x:v>
      </x:c>
      <x:c r="D11" s="12" t="n">
        <x:v>298.15</x:v>
      </x:c>
      <x:c r="E11" s="12" t="n">
        <x:v>5</x:v>
      </x:c>
      <x:c r="F11" s="12" t="n">
        <x:v>4.999995891246778</x:v>
      </x:c>
      <x:c r="G11" s="12" t="n">
        <x:v>0.000004108753222213756</x:v>
      </x:c>
      <x:c r="H11" s="12" t="n">
        <x:v>8.217513197174277e-7</x:v>
      </x:c>
      <x:c r="J11" s="12" t="n">
        <x:f>EXP((A11-B11)*C11*Constants!$B$5/(Constants!$B$4*D11))</x:f>
        <x:v>8.217513197174277e-7</x:v>
      </x:c>
      <x:c r="K11" s="12" t="n">
        <x:f>E11/(1+J11)</x:f>
        <x:v>4.999995891246778</x:v>
      </x:c>
      <x:c r="L11" s="12" t="n">
        <x:f>E11*J11/(1+J11)</x:f>
        <x:v>0.000004108753222213756</x:v>
      </x:c>
    </x:row>
    <x:row r="12">
      <x:c r="A12" s="14" t="n">
        <x:v>0</x:v>
      </x:c>
      <x:c r="B12" s="12" t="n">
        <x:v>0.31</x:v>
      </x:c>
      <x:c r="C12" s="12" t="n">
        <x:v>1</x:v>
      </x:c>
      <x:c r="D12" s="12" t="n">
        <x:v>298.15</x:v>
      </x:c>
      <x:c r="E12" s="12" t="n">
        <x:v>5</x:v>
      </x:c>
      <x:c r="F12" s="12" t="n">
        <x:v>4.999971233775932</x:v>
      </x:c>
      <x:c r="G12" s="12" t="n">
        <x:v>0.000028766224068350753</x:v>
      </x:c>
      <x:c r="H12" s="12" t="n">
        <x:v>0.000005753277913686469</x:v>
      </x:c>
      <x:c r="J12" s="12" t="n">
        <x:f>EXP((A12-B12)*C12*Constants!$B$5/(Constants!$B$4*D12))</x:f>
        <x:v>0.000005753277913686469</x:v>
      </x:c>
      <x:c r="K12" s="12" t="n">
        <x:f>E12/(1+J12)</x:f>
        <x:v>4.999971233775932</x:v>
      </x:c>
      <x:c r="L12" s="12" t="n">
        <x:f>E12*J12/(1+J12)</x:f>
        <x:v>0.000028766224068350753</x:v>
      </x:c>
    </x:row>
    <x:row r="13">
      <x:c r="A13" s="14" t="n">
        <x:v>0.05</x:v>
      </x:c>
      <x:c r="B13" s="12" t="n">
        <x:v>0.31</x:v>
      </x:c>
      <x:c r="C13" s="12" t="n">
        <x:v>1</x:v>
      </x:c>
      <x:c r="D13" s="12" t="n">
        <x:v>298.15</x:v>
      </x:c>
      <x:c r="E13" s="12" t="n">
        <x:v>5</x:v>
      </x:c>
      <x:c r="F13" s="12" t="n">
        <x:v>4.999798607725156</x:v>
      </x:c>
      <x:c r="G13" s="12" t="n">
        <x:v>0.0002013922748448219</x:v>
      </x:c>
      <x:c r="H13" s="12" t="n">
        <x:v>0.000040280077388247605</x:v>
      </x:c>
      <x:c r="J13" s="12" t="n">
        <x:f>EXP((A13-B13)*C13*Constants!$B$5/(Constants!$B$4*D13))</x:f>
        <x:v>0.000040280077388247605</x:v>
      </x:c>
      <x:c r="K13" s="12" t="n">
        <x:f>E13/(1+J13)</x:f>
        <x:v>4.999798607725156</x:v>
      </x:c>
      <x:c r="L13" s="12" t="n">
        <x:f>E13*J13/(1+J13)</x:f>
        <x:v>0.0002013922748448219</x:v>
      </x:c>
    </x:row>
    <x:row r="14">
      <x:c r="A14" s="14" t="n">
        <x:v>0.1</x:v>
      </x:c>
      <x:c r="B14" s="12" t="n">
        <x:v>0.31</x:v>
      </x:c>
      <x:c r="C14" s="12" t="n">
        <x:v>1</x:v>
      </x:c>
      <x:c r="D14" s="12" t="n">
        <x:v>298.15</x:v>
      </x:c>
      <x:c r="E14" s="12" t="n">
        <x:v>5</x:v>
      </x:c>
      <x:c r="F14" s="12" t="n">
        <x:v>4.998590345164899</x:v>
      </x:c>
      <x:c r="G14" s="12" t="n">
        <x:v>0.0014096548351007205</x:v>
      </x:c>
      <x:c r="H14" s="12" t="n">
        <x:v>0.00028201047450593137</x:v>
      </x:c>
      <x:c r="J14" s="12" t="n">
        <x:f>EXP((A14-B14)*C14*Constants!$B$5/(Constants!$B$4*D14))</x:f>
        <x:v>0.00028201047450593137</x:v>
      </x:c>
      <x:c r="K14" s="12" t="n">
        <x:f>E14/(1+J14)</x:f>
        <x:v>4.998590345164899</x:v>
      </x:c>
      <x:c r="L14" s="12" t="n">
        <x:f>E14*J14/(1+J14)</x:f>
        <x:v>0.0014096548351007205</x:v>
      </x:c>
    </x:row>
    <x:row r="15">
      <x:c r="A15" s="14" t="n">
        <x:v>0.15</x:v>
      </x:c>
      <x:c r="B15" s="12" t="n">
        <x:v>0.31</x:v>
      </x:c>
      <x:c r="C15" s="12" t="n">
        <x:v>1</x:v>
      </x:c>
      <x:c r="D15" s="12" t="n">
        <x:v>298.15</x:v>
      </x:c>
      <x:c r="E15" s="12" t="n">
        <x:v>5</x:v>
      </x:c>
      <x:c r="F15" s="12" t="n">
        <x:v>4.990147338755326</x:v>
      </x:c>
      <x:c r="G15" s="12" t="n">
        <x:v>0.009852661244672807</x:v>
      </x:c>
      <x:c r="H15" s="12" t="n">
        <x:v>0.0019744229129575797</x:v>
      </x:c>
      <x:c r="J15" s="12" t="n">
        <x:f>EXP((A15-B15)*C15*Constants!$B$5/(Constants!$B$4*D15))</x:f>
        <x:v>0.0019744229129575797</x:v>
      </x:c>
      <x:c r="K15" s="12" t="n">
        <x:f>E15/(1+J15)</x:f>
        <x:v>4.990147338755326</x:v>
      </x:c>
      <x:c r="L15" s="12" t="n">
        <x:f>E15*J15/(1+J15)</x:f>
        <x:v>0.009852661244672807</x:v>
      </x:c>
    </x:row>
    <x:row r="16">
      <x:c r="A16" s="14" t="n">
        <x:v>0.2</x:v>
      </x:c>
      <x:c r="B16" s="12" t="n">
        <x:v>0.31</x:v>
      </x:c>
      <x:c r="C16" s="12" t="n">
        <x:v>1</x:v>
      </x:c>
      <x:c r="D16" s="12" t="n">
        <x:v>298.15</x:v>
      </x:c>
      <x:c r="E16" s="12" t="n">
        <x:v>5</x:v>
      </x:c>
      <x:c r="F16" s="12" t="n">
        <x:v>4.931825365959226</x:v>
      </x:c>
      <x:c r="G16" s="12" t="n">
        <x:v>0.06817463404077374</x:v>
      </x:c>
      <x:c r="H16" s="12" t="n">
        <x:v>0.013823407963982919</x:v>
      </x:c>
      <x:c r="J16" s="12" t="n">
        <x:f>EXP((A16-B16)*C16*Constants!$B$5/(Constants!$B$4*D16))</x:f>
        <x:v>0.013823407963982919</x:v>
      </x:c>
      <x:c r="K16" s="12" t="n">
        <x:f>E16/(1+J16)</x:f>
        <x:v>4.931825365959226</x:v>
      </x:c>
      <x:c r="L16" s="12" t="n">
        <x:f>E16*J16/(1+J16)</x:f>
        <x:v>0.06817463404077374</x:v>
      </x:c>
    </x:row>
    <x:row r="17">
      <x:c r="A17" s="14" t="n">
        <x:v>0.25</x:v>
      </x:c>
      <x:c r="B17" s="12" t="n">
        <x:v>0.31</x:v>
      </x:c>
      <x:c r="C17" s="12" t="n">
        <x:v>1</x:v>
      </x:c>
      <x:c r="D17" s="12" t="n">
        <x:v>298.15</x:v>
      </x:c>
      <x:c r="E17" s="12" t="n">
        <x:v>5</x:v>
      </x:c>
      <x:c r="F17" s="12" t="n">
        <x:v>4.558795272169329</x:v>
      </x:c>
      <x:c r="G17" s="12" t="n">
        <x:v>0.4412047278306708</x:v>
      </x:c>
      <x:c r="H17" s="12" t="n">
        <x:v>0.0967809917949487</x:v>
      </x:c>
      <x:c r="J17" s="12" t="n">
        <x:f>EXP((A17-B17)*C17*Constants!$B$5/(Constants!$B$4*D17))</x:f>
        <x:v>0.0967809917949487</x:v>
      </x:c>
      <x:c r="K17" s="12" t="n">
        <x:f>E17/(1+J17)</x:f>
        <x:v>4.558795272169329</x:v>
      </x:c>
      <x:c r="L17" s="12" t="n">
        <x:f>E17*J17/(1+J17)</x:f>
        <x:v>0.4412047278306708</x:v>
      </x:c>
    </x:row>
    <x:row r="18">
      <x:c r="A18" s="14" t="n">
        <x:v>0.3</x:v>
      </x:c>
      <x:c r="B18" s="12" t="n">
        <x:v>0.31</x:v>
      </x:c>
      <x:c r="C18" s="12" t="n">
        <x:v>1</x:v>
      </x:c>
      <x:c r="D18" s="12" t="n">
        <x:v>298.15</x:v>
      </x:c>
      <x:c r="E18" s="12" t="n">
        <x:v>5</x:v>
      </x:c>
      <x:c r="F18" s="12" t="n">
        <x:v>2.9804715045791</x:v>
      </x:c>
      <x:c r="G18" s="12" t="n">
        <x:v>2.0195284954209005</x:v>
      </x:c>
      <x:c r="H18" s="12" t="n">
        <x:v>0.6775869161366456</x:v>
      </x:c>
      <x:c r="J18" s="12" t="n">
        <x:f>EXP((A18-B18)*C18*Constants!$B$5/(Constants!$B$4*D18))</x:f>
        <x:v>0.6775869161366456</x:v>
      </x:c>
      <x:c r="K18" s="12" t="n">
        <x:f>E18/(1+J18)</x:f>
        <x:v>2.9804715045791</x:v>
      </x:c>
      <x:c r="L18" s="12" t="n">
        <x:f>E18*J18/(1+J18)</x:f>
        <x:v>2.0195284954209005</x:v>
      </x:c>
    </x:row>
    <x:row r="19">
      <x:c r="A19" s="14" t="n">
        <x:v>0.35</x:v>
      </x:c>
      <x:c r="B19" s="12" t="n">
        <x:v>0.31</x:v>
      </x:c>
      <x:c r="C19" s="12" t="n">
        <x:v>1</x:v>
      </x:c>
      <x:c r="D19" s="12" t="n">
        <x:v>298.15</x:v>
      </x:c>
      <x:c r="E19" s="12" t="n">
        <x:v>5</x:v>
      </x:c>
      <x:c r="F19" s="12" t="n">
        <x:v>0.8704813609216353</x:v>
      </x:c>
      <x:c r="G19" s="12" t="n">
        <x:v>4.1295186390783645</x:v>
      </x:c>
      <x:c r="H19" s="12" t="n">
        <x:v>4.743948376684568</x:v>
      </x:c>
      <x:c r="J19" s="12" t="n">
        <x:f>EXP((A19-B19)*C19*Constants!$B$5/(Constants!$B$4*D19))</x:f>
        <x:v>4.743948376684568</x:v>
      </x:c>
      <x:c r="K19" s="12" t="n">
        <x:f>E19/(1+J19)</x:f>
        <x:v>0.8704813609216353</x:v>
      </x:c>
      <x:c r="L19" s="12" t="n">
        <x:f>E19*J19/(1+J19)</x:f>
        <x:v>4.1295186390783645</x:v>
      </x:c>
    </x:row>
    <x:row r="20">
      <x:c r="A20" s="14" t="n">
        <x:v>0.4</x:v>
      </x:c>
      <x:c r="B20" s="12" t="n">
        <x:v>0.31</x:v>
      </x:c>
      <x:c r="C20" s="12" t="n">
        <x:v>1</x:v>
      </x:c>
      <x:c r="D20" s="12" t="n">
        <x:v>298.15</x:v>
      </x:c>
      <x:c r="E20" s="12" t="n">
        <x:v>5</x:v>
      </x:c>
      <x:c r="F20" s="12" t="n">
        <x:v>0.14614106014688522</x:v>
      </x:c>
      <x:c r="G20" s="12" t="n">
        <x:v>4.853858939853114</x:v>
      </x:c>
      <x:c r="H20" s="12" t="n">
        <x:v>33.21351942414089</x:v>
      </x:c>
      <x:c r="J20" s="12" t="n">
        <x:f>EXP((A20-B20)*C20*Constants!$B$5/(Constants!$B$4*D20))</x:f>
        <x:v>33.21351942414089</x:v>
      </x:c>
      <x:c r="K20" s="12" t="n">
        <x:f>E20/(1+J20)</x:f>
        <x:v>0.14614106014688522</x:v>
      </x:c>
      <x:c r="L20" s="12" t="n">
        <x:f>E20*J20/(1+J20)</x:f>
        <x:v>4.853858939853114</x:v>
      </x:c>
    </x:row>
    <x:row r="21">
      <x:c r="A21" s="14" t="n">
        <x:v>0.45</x:v>
      </x:c>
      <x:c r="B21" s="12" t="n">
        <x:v>0.31</x:v>
      </x:c>
      <x:c r="C21" s="12" t="n">
        <x:v>1</x:v>
      </x:c>
      <x:c r="D21" s="12" t="n">
        <x:v>298.15</x:v>
      </x:c>
      <x:c r="E21" s="12" t="n">
        <x:v>5</x:v>
      </x:c>
      <x:c r="F21" s="12" t="n">
        <x:v>0.02140999286714906</x:v>
      </x:c>
      <x:c r="G21" s="12" t="n">
        <x:v>4.97859000713285</x:v>
      </x:c>
      <x:c r="H21" s="12" t="n">
        <x:v>232.53580877048637</x:v>
      </x:c>
      <x:c r="J21" s="12" t="n">
        <x:f>EXP((A21-B21)*C21*Constants!$B$5/(Constants!$B$4*D21))</x:f>
        <x:v>232.53580877048637</x:v>
      </x:c>
      <x:c r="K21" s="12" t="n">
        <x:f>E21/(1+J21)</x:f>
        <x:v>0.02140999286714906</x:v>
      </x:c>
      <x:c r="L21" s="12" t="n">
        <x:f>E21*J21/(1+J21)</x:f>
        <x:v>4.97859000713285</x:v>
      </x:c>
    </x:row>
    <x:row r="22">
      <x:c r="A22" s="14" t="n">
        <x:v>0.5</x:v>
      </x:c>
      <x:c r="B22" s="12" t="n">
        <x:v>0.31</x:v>
      </x:c>
      <x:c r="C22" s="12" t="n">
        <x:v>1</x:v>
      </x:c>
      <x:c r="D22" s="12" t="n">
        <x:v>298.15</x:v>
      </x:c>
      <x:c r="E22" s="12" t="n">
        <x:v>5</x:v>
      </x:c>
      <x:c r="F22" s="12" t="n">
        <x:v>0.003069294374948613</x:v>
      </x:c>
      <x:c r="G22" s="12" t="n">
        <x:v>4.996930705625052</x:v>
      </x:c>
      <x:c r="H22" s="12" t="n">
        <x:v>1628.0389220433478</x:v>
      </x:c>
      <x:c r="J22" s="12" t="n">
        <x:f>EXP((A22-B22)*C22*Constants!$B$5/(Constants!$B$4*D22))</x:f>
        <x:v>1628.0389220433478</x:v>
      </x:c>
      <x:c r="K22" s="12" t="n">
        <x:f>E22/(1+J22)</x:f>
        <x:v>0.003069294374948613</x:v>
      </x:c>
      <x:c r="L22" s="12" t="n">
        <x:f>E22*J22/(1+J22)</x:f>
        <x:v>4.996930705625052</x:v>
      </x:c>
    </x:row>
    <x:row r="23">
      <x:c r="A23" s="14" t="n">
        <x:v>0.55</x:v>
      </x:c>
      <x:c r="B23" s="12" t="n">
        <x:v>0.31</x:v>
      </x:c>
      <x:c r="C23" s="12" t="n">
        <x:v>1</x:v>
      </x:c>
      <x:c r="D23" s="12" t="n">
        <x:v>298.15</x:v>
      </x:c>
      <x:c r="E23" s="12" t="n">
        <x:v>5</x:v>
      </x:c>
      <x:c r="F23" s="12" t="n">
        <x:v>0.00043862378454718315</x:v>
      </x:c>
      <x:c r="G23" s="12" t="n">
        <x:v>4.999561376215453</x:v>
      </x:c>
      <x:c r="H23" s="12" t="n">
        <x:v>11398.29063619245</x:v>
      </x:c>
      <x:c r="J23" s="12" t="n">
        <x:f>EXP((A23-B23)*C23*Constants!$B$5/(Constants!$B$4*D23))</x:f>
        <x:v>11398.29063619245</x:v>
      </x:c>
      <x:c r="K23" s="12" t="n">
        <x:f>E23/(1+J23)</x:f>
        <x:v>0.00043862378454718315</x:v>
      </x:c>
      <x:c r="L23" s="12" t="n">
        <x:f>E23*J23/(1+J23)</x:f>
        <x:v>4.999561376215453</x:v>
      </x:c>
    </x:row>
    <x:row r="24">
      <x:c r="A24" s="14" t="n">
        <x:v>0.6</x:v>
      </x:c>
      <x:c r="B24" s="12" t="n">
        <x:v>0.31</x:v>
      </x:c>
      <x:c r="C24" s="12" t="n">
        <x:v>1</x:v>
      </x:c>
      <x:c r="D24" s="12" t="n">
        <x:v>298.15</x:v>
      </x:c>
      <x:c r="E24" s="12" t="n">
        <x:v>5</x:v>
      </x:c>
      <x:c r="F24" s="12" t="n">
        <x:v>0.00006265415724231808</x:v>
      </x:c>
      <x:c r="G24" s="12" t="n">
        <x:v>4.999937345842757</x:v>
      </x:c>
      <x:c r="H24" s="12" t="n">
        <x:v>79802.1642283887</x:v>
      </x:c>
      <x:c r="J24" s="12" t="n">
        <x:f>EXP((A24-B24)*C24*Constants!$B$5/(Constants!$B$4*D24))</x:f>
        <x:v>79802.1642283887</x:v>
      </x:c>
      <x:c r="K24" s="12" t="n">
        <x:f>E24/(1+J24)</x:f>
        <x:v>0.00006265415724231808</x:v>
      </x:c>
      <x:c r="L24" s="12" t="n">
        <x:f>E24*J24/(1+J24)</x:f>
        <x:v>4.999937345842757</x:v>
      </x:c>
    </x:row>
    <x:row r="25">
      <x:c r="A25" s="14" t="n">
        <x:v>0.65</x:v>
      </x:c>
      <x:c r="B25" s="12" t="n">
        <x:v>0.31</x:v>
      </x:c>
      <x:c r="C25" s="12" t="n">
        <x:v>1</x:v>
      </x:c>
      <x:c r="D25" s="12" t="n">
        <x:v>298.15</x:v>
      </x:c>
      <x:c r="E25" s="12" t="n">
        <x:v>5</x:v>
      </x:c>
      <x:c r="F25" s="12" t="n">
        <x:v>0.000008949105221778495</x:v>
      </x:c>
      <x:c r="G25" s="12" t="n">
        <x:v>4.999991050894779</x:v>
      </x:c>
      <x:c r="H25" s="12" t="n">
        <x:v>558714.0755398457</x:v>
      </x:c>
      <x:c r="J25" s="12" t="n">
        <x:f>EXP((A25-B25)*C25*Constants!$B$5/(Constants!$B$4*D25))</x:f>
        <x:v>558714.0755398457</x:v>
      </x:c>
      <x:c r="K25" s="12" t="n">
        <x:f>E25/(1+J25)</x:f>
        <x:v>0.000008949105221778495</x:v>
      </x:c>
      <x:c r="L25" s="12" t="n">
        <x:f>E25*J25/(1+J25)</x:f>
        <x:v>4.999991050894779</x:v>
      </x:c>
    </x:row>
    <x:row r="26">
      <x:c r="A26" s="14" t="n">
        <x:v>0.7</x:v>
      </x:c>
      <x:c r="B26" s="12" t="n">
        <x:v>0.31</x:v>
      </x:c>
      <x:c r="C26" s="12" t="n">
        <x:v>1</x:v>
      </x:c>
      <x:c r="D26" s="12" t="n">
        <x:v>298.15</x:v>
      </x:c>
      <x:c r="E26" s="12" t="n">
        <x:v>5</x:v>
      </x:c>
      <x:c r="F26" s="12" t="n">
        <x:v>0.000001278219202840543</x:v>
      </x:c>
      <x:c r="G26" s="12" t="n">
        <x:v>4.9999987217807975</x:v>
      </x:c>
      <x:c r="H26" s="12" t="n">
        <x:v>3911691.132999309</x:v>
      </x:c>
      <x:c r="J26" s="12" t="n">
        <x:f>EXP((A26-B26)*C26*Constants!$B$5/(Constants!$B$4*D26))</x:f>
        <x:v>3911691.132999309</x:v>
      </x:c>
      <x:c r="K26" s="12" t="n">
        <x:f>E26/(1+J26)</x:f>
        <x:v>0.000001278219202840543</x:v>
      </x:c>
      <x:c r="L26" s="12" t="n">
        <x:f>E26*J26/(1+J26)</x:f>
        <x:v>4.9999987217807975</x:v>
      </x:c>
    </x:row>
    <x:row r="27">
      <x:c r="A27" s="14" t="n">
        <x:v>0.75</x:v>
      </x:c>
      <x:c r="B27" s="12" t="n">
        <x:v>0.31</x:v>
      </x:c>
      <x:c r="C27" s="12" t="n">
        <x:v>1</x:v>
      </x:c>
      <x:c r="D27" s="12" t="n">
        <x:v>298.15</x:v>
      </x:c>
      <x:c r="E27" s="12" t="n">
        <x:v>5</x:v>
      </x:c>
      <x:c r="F27" s="12" t="n">
        <x:v>1.8257045161903703e-7</x:v>
      </x:c>
      <x:c r="G27" s="12" t="n">
        <x:v>4.999999817429549</x:v>
      </x:c>
      <x:c r="H27" s="12" t="n">
        <x:v>27386687.019117758</x:v>
      </x:c>
      <x:c r="J27" s="12" t="n">
        <x:f>EXP((A27-B27)*C27*Constants!$B$5/(Constants!$B$4*D27))</x:f>
        <x:v>27386687.019117758</x:v>
      </x:c>
      <x:c r="K27" s="12" t="n">
        <x:f>E27/(1+J27)</x:f>
        <x:v>1.8257045161903703e-7</x:v>
      </x:c>
      <x:c r="L27" s="12" t="n">
        <x:f>E27*J27/(1+J27)</x:f>
        <x:v>4.999999817429549</x:v>
      </x:c>
    </x:row>
    <x:row r="28">
      <x:c r="A28" s="14" t="n">
        <x:v>0.8</x:v>
      </x:c>
      <x:c r="B28" s="12" t="n">
        <x:v>0.31</x:v>
      </x:c>
      <x:c r="C28" s="12" t="n">
        <x:v>1</x:v>
      </x:c>
      <x:c r="D28" s="12" t="n">
        <x:v>298.15</x:v>
      </x:c>
      <x:c r="E28" s="12" t="n">
        <x:v>5</x:v>
      </x:c>
      <x:c r="F28" s="12" t="n">
        <x:v>2.6076875914184117e-8</x:v>
      </x:c>
      <x:c r="G28" s="12" t="n">
        <x:v>4.999999973923124</x:v>
      </x:c>
      <x:c r="H28" s="12" t="n">
        <x:v>191740758.76180592</x:v>
      </x:c>
      <x:c r="J28" s="12" t="n">
        <x:f>EXP((A28-B28)*C28*Constants!$B$5/(Constants!$B$4*D28))</x:f>
        <x:v>191740758.76180592</x:v>
      </x:c>
      <x:c r="K28" s="12" t="n">
        <x:f>E28/(1+J28)</x:f>
        <x:v>2.6076875914184117e-8</x:v>
      </x:c>
      <x:c r="L28" s="12" t="n">
        <x:f>E28*J28/(1+J28)</x:f>
        <x:v>4.999999973923124</x:v>
      </x:c>
    </x:row>
  </x:sheetData>
  <x:pageMargins left="0.7" right="0.7" top="0.75" bottom="0.75" header="0.3" footer="0.3"/>
  <x:tableParts count="1">
    <x:tablePart xmlns:r="http://schemas.openxmlformats.org/officeDocument/2006/relationships" r:id="Rca92cf2e0b4f40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10.359999656677246" hidden="0" customWidth="1"/>
    <x:col min="3" max="3" width="10.770000457763672" hidden="0" customWidth="1"/>
    <x:col min="4" max="4" width="34.720001220703125" hidden="0" customWidth="1"/>
  </x:cols>
  <x:sheetData>
    <x:row r="1">
      <x:c r="A1" s="3" t="str">
        <x:v>Parameter</x:v>
      </x:c>
      <x:c r="B1" s="3" t="str">
        <x:v>Value</x:v>
      </x:c>
      <x:c r="C1" s="3" t="str">
        <x:v>Unit</x:v>
      </x:c>
      <x:c r="D1" s="3" t="str">
        <x:v>Description</x:v>
      </x:c>
    </x:row>
    <x:row r="2">
      <x:c r="A2" t="str">
        <x:v>E0</x:v>
      </x:c>
      <x:c r="B2" t="n">
        <x:v>0.31</x:v>
      </x:c>
      <x:c r="C2" t="str">
        <x:v>V vs SCE</x:v>
      </x:c>
      <x:c r="D2" t="str">
        <x:v>Formal potential of ferrocene/ferricenium</x:v>
      </x:c>
    </x:row>
    <x:row r="3">
      <x:c r="A3" t="str">
        <x:v>n</x:v>
      </x:c>
      <x:c r="B3" t="n">
        <x:v>1</x:v>
      </x:c>
      <x:c r="C3" t="str">
        <x:v>electrons</x:v>
      </x:c>
      <x:c r="D3" t="str">
        <x:v>Number of electrons transferred</x:v>
      </x:c>
    </x:row>
    <x:row r="4">
      <x:c r="A4" t="str">
        <x:v>R</x:v>
      </x:c>
      <x:c r="B4" t="n">
        <x:v>8.314462618</x:v>
      </x:c>
      <x:c r="C4" t="str">
        <x:v>J mol^-1 K^-1</x:v>
      </x:c>
      <x:c r="D4" t="str">
        <x:v>Gas constant</x:v>
      </x:c>
    </x:row>
    <x:row r="5">
      <x:c r="A5" t="str">
        <x:v>F</x:v>
      </x:c>
      <x:c r="B5" t="n">
        <x:v>96485.33212</x:v>
      </x:c>
      <x:c r="C5" t="str">
        <x:v>C mol^-1</x:v>
      </x:c>
      <x:c r="D5" t="str">
        <x:v>Faraday constant</x:v>
      </x:c>
    </x:row>
    <x:row r="6">
      <x:c r="A6" t="str">
        <x:v>T</x:v>
      </x:c>
      <x:c r="B6" t="n">
        <x:v>298.15</x:v>
      </x:c>
      <x:c r="C6" t="str">
        <x:v>K</x:v>
      </x:c>
      <x:c r="D6" t="str">
        <x:v>Temperature at 25 °C</x:v>
      </x:c>
    </x:row>
    <x:row r="7">
      <x:c r="A7" t="str">
        <x:v>Total concentration</x:v>
      </x:c>
      <x:c r="B7" t="n">
        <x:v>5</x:v>
      </x:c>
      <x:c r="C7" t="str">
        <x:v>mM</x:v>
      </x:c>
      <x:c r="D7" t="str">
        <x:v>Total ferrocene + ferricenium concentration</x:v>
      </x:c>
    </x:row>
  </x:sheetData>
  <x:pageMargins left="0.7" right="0.7" top="0.75" bottom="0.75" header="0.3" footer="0.3"/>
  <x:tableParts count="1">
    <x:tablePart xmlns:r="http://schemas.openxmlformats.org/officeDocument/2006/relationships" r:id="Rb29cc5c1d21a4b8e"/>
  </x:tableParts>
</x:worksheet>
</file>